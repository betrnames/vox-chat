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s" sheetId="2" state="visible" r:id="rId2"/>
    <sheet name="Leads" sheetId="3" state="visible" r:id="rId3"/>
    <sheet name="Clients" sheetId="4" state="visible" r:id="rId4"/>
    <sheet name="Costs" sheetId="5" state="visible" r:id="rId5"/>
    <sheet name="README" sheetId="6" state="visible" r:id="rId6"/>
  </sheets>
  <definedNames>
    <definedName name="_xlnm._FilterDatabase" localSheetId="2" hidden="1">'Leads'!$A$4:$O$54</definedName>
    <definedName name="_xlnm._FilterDatabase" localSheetId="3" hidden="1">'Clients'!$A$4:$N$34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A1A2E"/>
      <sz val="12"/>
    </font>
    <font>
      <name val="Arial"/>
      <color rgb="00008000"/>
      <sz val="10"/>
    </font>
    <font>
      <name val="Arial"/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0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4" fillId="0" borderId="1" pivotButton="0" quotePrefix="0" xfId="0"/>
    <xf numFmtId="0" fontId="6" fillId="5" borderId="1" pivotButton="0" quotePrefix="0" xfId="0"/>
    <xf numFmtId="0" fontId="6" fillId="6" borderId="0" pivotButton="0" quotePrefix="0" xfId="0"/>
    <xf numFmtId="166" fontId="4" fillId="0" borderId="1" pivotButton="0" quotePrefix="0" xfId="0"/>
    <xf numFmtId="0" fontId="6" fillId="0" borderId="0" pivotButton="0" quotePrefix="0" xfId="0"/>
    <xf numFmtId="164" fontId="5" fillId="3" borderId="1" pivotButton="0" quotePrefix="0" xfId="0"/>
    <xf numFmtId="0" fontId="4" fillId="0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165" fontId="5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Vox Ops — Big picture</t>
        </is>
      </c>
    </row>
    <row r="2">
      <c r="A2" s="2" t="inlineStr">
        <is>
          <t>Auto-calcs from Clients + Costs + Leads. Yellow = edit. Green = from other sheets.</t>
        </is>
      </c>
    </row>
    <row r="4">
      <c r="A4" s="3" t="inlineStr">
        <is>
          <t>REVENUE</t>
        </is>
      </c>
    </row>
    <row r="5">
      <c r="A5" s="4" t="inlineStr">
        <is>
          <t>Active clients</t>
        </is>
      </c>
      <c r="B5" s="5">
        <f>Clients!B38</f>
        <v/>
      </c>
    </row>
    <row r="6">
      <c r="A6" s="4" t="inlineStr">
        <is>
          <t>Monthly recurring revenue (MRR)</t>
        </is>
      </c>
      <c r="B6" s="6">
        <f>Clients!B39</f>
        <v/>
      </c>
    </row>
    <row r="7">
      <c r="A7" s="4" t="inlineStr">
        <is>
          <t>Annual run rate (MRR x 12)</t>
        </is>
      </c>
      <c r="B7" s="7">
        <f>B6*12</f>
        <v/>
      </c>
    </row>
    <row r="8">
      <c r="A8" s="4" t="n"/>
      <c r="B8" s="4" t="n"/>
    </row>
    <row r="9">
      <c r="A9" s="8" t="inlineStr">
        <is>
          <t>COSTS</t>
        </is>
      </c>
      <c r="B9" s="4" t="n"/>
    </row>
    <row r="10">
      <c r="A10" s="4" t="inlineStr">
        <is>
          <t>Active tool/overhead costs</t>
        </is>
      </c>
      <c r="B10" s="6">
        <f>Costs!B29</f>
        <v/>
      </c>
    </row>
    <row r="11">
      <c r="A11" s="4" t="inlineStr">
        <is>
          <t>Client cost-to-serve (sum)</t>
        </is>
      </c>
      <c r="B11" s="6">
        <f>Clients!B40</f>
        <v/>
      </c>
    </row>
    <row r="12">
      <c r="A12" s="4" t="inlineStr">
        <is>
          <t>Total monthly costs</t>
        </is>
      </c>
      <c r="B12" s="7">
        <f>B10+B11</f>
        <v/>
      </c>
    </row>
    <row r="14">
      <c r="A14" s="9" t="inlineStr">
        <is>
          <t>MARGIN</t>
        </is>
      </c>
    </row>
    <row r="15">
      <c r="A15" s="4" t="inlineStr">
        <is>
          <t>Gross margin ($)</t>
        </is>
      </c>
      <c r="B15" s="7">
        <f>B6-B12</f>
        <v/>
      </c>
    </row>
    <row r="16">
      <c r="A16" s="4" t="inlineStr">
        <is>
          <t>Gross margin %</t>
        </is>
      </c>
      <c r="B16" s="10">
        <f>IF(B6=0,"-",B15/B6)</f>
        <v/>
      </c>
    </row>
    <row r="18">
      <c r="A18" s="11" t="inlineStr">
        <is>
          <t>PIPELINE (from Leads)</t>
        </is>
      </c>
    </row>
    <row r="19">
      <c r="A19" s="4" t="inlineStr">
        <is>
          <t>New</t>
        </is>
      </c>
      <c r="B19" s="5">
        <f>Leads!B57</f>
        <v/>
      </c>
    </row>
    <row r="20">
      <c r="A20" s="4" t="inlineStr">
        <is>
          <t>Audit booked</t>
        </is>
      </c>
      <c r="B20" s="5">
        <f>Leads!B58</f>
        <v/>
      </c>
    </row>
    <row r="21">
      <c r="A21" s="4" t="inlineStr">
        <is>
          <t>Audit done</t>
        </is>
      </c>
      <c r="B21" s="5">
        <f>Leads!B59</f>
        <v/>
      </c>
    </row>
    <row r="22">
      <c r="A22" s="4" t="inlineStr">
        <is>
          <t>Setup</t>
        </is>
      </c>
      <c r="B22" s="5">
        <f>Leads!B60</f>
        <v/>
      </c>
    </row>
    <row r="23">
      <c r="A23" s="4" t="inlineStr">
        <is>
          <t>Lost</t>
        </is>
      </c>
      <c r="B23" s="5">
        <f>Leads!B62</f>
        <v/>
      </c>
    </row>
    <row r="25">
      <c r="A25" s="11" t="inlineStr">
        <is>
          <t>REPLACE 9-5 CHECK</t>
        </is>
      </c>
    </row>
    <row r="26">
      <c r="A26" s="4" t="inlineStr">
        <is>
          <t>Target personal income $/mo (edit)</t>
        </is>
      </c>
      <c r="B26" s="12" t="n">
        <v>10000</v>
      </c>
    </row>
    <row r="27">
      <c r="A27" s="4" t="inlineStr">
        <is>
          <t>MRR vs target</t>
        </is>
      </c>
      <c r="B27" s="7">
        <f>B6-B26</f>
        <v/>
      </c>
    </row>
    <row r="28">
      <c r="A28" s="4" t="inlineStr">
        <is>
          <t>Bundle seats needed @ default quote</t>
        </is>
      </c>
      <c r="B28" s="13">
        <f>IF(SKUs!E8=0,"-",ROUNDUP(B26/SKUs!E8,0))</f>
        <v/>
      </c>
    </row>
    <row r="29">
      <c r="A29" s="2" t="inlineStr">
        <is>
          <t>(Uses Bundle Default Quote on SKUs — row 8)</t>
        </is>
      </c>
    </row>
    <row r="31">
      <c r="A31" s="11" t="inlineStr">
        <is>
          <t>Weekly habits</t>
        </is>
      </c>
    </row>
    <row r="32">
      <c r="A32" s="2" t="inlineStr">
        <is>
          <t>• Log every lead same day (BNI, form, call)</t>
        </is>
      </c>
    </row>
    <row r="33">
      <c r="A33" s="2" t="inlineStr">
        <is>
          <t>• After each audit: Status + Quoted + Est. leak</t>
        </is>
      </c>
    </row>
    <row r="34">
      <c r="A34" s="2" t="inlineStr">
        <is>
          <t>• When they pay: Clients row + Lead Status = Live</t>
        </is>
      </c>
    </row>
    <row r="35">
      <c r="A35" s="2" t="inlineStr">
        <is>
          <t>• Monthly: update Costs, send reports, tick Report sent?</t>
        </is>
      </c>
    </row>
    <row r="36">
      <c r="A36" s="2" t="inlineStr">
        <is>
          <t>• No client dashboard — this sheet is your ops brain</t>
        </is>
      </c>
    </row>
    <row r="38">
      <c r="A38" s="14" t="inlineStr">
        <is>
          <t>Google Sheets: drive.google.com → New → File upload → Vox-Ops.xlsx  OR  blank Sheet → File → Import → Upload</t>
        </is>
      </c>
    </row>
  </sheetData>
  <mergeCells count="3">
    <mergeCell ref="A1:D1"/>
    <mergeCell ref="A38:D3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8" customWidth="1" min="5" max="5"/>
    <col width="28" customWidth="1" min="6" max="6"/>
    <col width="32" customWidth="1" min="7" max="7"/>
  </cols>
  <sheetData>
    <row r="1">
      <c r="A1" s="1" t="inlineStr">
        <is>
          <t>Vox Ops — Productized SKUs</t>
        </is>
      </c>
    </row>
    <row r="2">
      <c r="A2" s="2" t="inlineStr">
        <is>
          <t>Blue text / yellow cells = edit these. Prices drive quotes.</t>
        </is>
      </c>
    </row>
    <row r="4" ht="30" customHeight="1">
      <c r="A4" s="15" t="inlineStr">
        <is>
          <t>SKU</t>
        </is>
      </c>
      <c r="B4" s="15" t="inlineStr">
        <is>
          <t>Tagline</t>
        </is>
      </c>
      <c r="C4" s="15" t="inlineStr">
        <is>
          <t>Price Low ($/mo)</t>
        </is>
      </c>
      <c r="D4" s="15" t="inlineStr">
        <is>
          <t>Price High ($/mo)</t>
        </is>
      </c>
      <c r="E4" s="15" t="inlineStr">
        <is>
          <t>Default Quote ($/mo)</t>
        </is>
      </c>
      <c r="F4" s="15" t="inlineStr">
        <is>
          <t>Best For</t>
        </is>
      </c>
      <c r="G4" s="15" t="inlineStr">
        <is>
          <t>Notes</t>
        </is>
      </c>
    </row>
    <row r="5">
      <c r="A5" s="13" t="inlineStr">
        <is>
          <t>Reviews</t>
        </is>
      </c>
      <c r="B5" s="13" t="inlineStr">
        <is>
          <t>AI Review Agent</t>
        </is>
      </c>
      <c r="C5" s="12" t="n">
        <v>300</v>
      </c>
      <c r="D5" s="12" t="n">
        <v>500</v>
      </c>
      <c r="E5" s="12" t="n">
        <v>400</v>
      </c>
      <c r="F5" s="13" t="inlineStr">
        <is>
          <t>Fastest visible win; map pack</t>
        </is>
      </c>
      <c r="G5" s="13" t="inlineStr">
        <is>
          <t>Start if budget-sensitive</t>
        </is>
      </c>
    </row>
    <row r="6">
      <c r="A6" s="13" t="inlineStr">
        <is>
          <t>Receptionist</t>
        </is>
      </c>
      <c r="B6" s="13" t="inlineStr">
        <is>
          <t>AI Receptionist</t>
        </is>
      </c>
      <c r="C6" s="12" t="n">
        <v>500</v>
      </c>
      <c r="D6" s="12" t="n">
        <v>800</v>
      </c>
      <c r="E6" s="12" t="n">
        <v>650</v>
      </c>
      <c r="F6" s="13" t="inlineStr">
        <is>
          <t>Conversation capture</t>
        </is>
      </c>
      <c r="G6" s="13" t="inlineStr">
        <is>
          <t>Qualify + book + notify</t>
        </is>
      </c>
    </row>
    <row r="7">
      <c r="A7" s="13" t="inlineStr">
        <is>
          <t>Voice</t>
        </is>
      </c>
      <c r="B7" s="13" t="inlineStr">
        <is>
          <t>AI Phone Agent</t>
        </is>
      </c>
      <c r="C7" s="12" t="n">
        <v>800</v>
      </c>
      <c r="D7" s="12" t="n">
        <v>1500</v>
      </c>
      <c r="E7" s="12" t="n">
        <v>1000</v>
      </c>
      <c r="F7" s="13" t="inlineStr">
        <is>
          <t>Missed / after-hours calls</t>
        </is>
      </c>
      <c r="G7" s="13" t="inlineStr">
        <is>
          <t>Highest revenue impact</t>
        </is>
      </c>
    </row>
    <row r="8">
      <c r="A8" s="13" t="inlineStr">
        <is>
          <t>Bundle</t>
        </is>
      </c>
      <c r="B8" s="13" t="inlineStr">
        <is>
          <t>All three — AI front desk</t>
        </is>
      </c>
      <c r="C8" s="12" t="n">
        <v>1500</v>
      </c>
      <c r="D8" s="12" t="n">
        <v>1500</v>
      </c>
      <c r="E8" s="12" t="n">
        <v>1500</v>
      </c>
      <c r="F8" s="13" t="inlineStr">
        <is>
          <t>Default close</t>
        </is>
      </c>
      <c r="G8" s="13" t="inlineStr">
        <is>
          <t>Less than part-time hire</t>
        </is>
      </c>
    </row>
    <row r="10">
      <c r="A10" s="11" t="inlineStr">
        <is>
          <t>Geography (ICP triangle)</t>
        </is>
      </c>
    </row>
    <row r="11">
      <c r="A11" t="inlineStr">
        <is>
          <t>Primary cities</t>
        </is>
      </c>
      <c r="B11" s="16" t="inlineStr">
        <is>
          <t>Turlock, Modesto, Manteca</t>
        </is>
      </c>
    </row>
    <row r="12">
      <c r="A12" t="inlineStr">
        <is>
          <t>Trades</t>
        </is>
      </c>
      <c r="B12" s="16" t="inlineStr">
        <is>
          <t>HVAC, Plumbing, Electrical</t>
        </is>
      </c>
    </row>
    <row r="13">
      <c r="A13" t="inlineStr">
        <is>
          <t>Your base</t>
        </is>
      </c>
      <c r="B13" s="16" t="inlineStr">
        <is>
          <t>Turlock, CA</t>
        </is>
      </c>
    </row>
    <row r="15">
      <c r="A15" s="11" t="inlineStr">
        <is>
          <t>How to use</t>
        </is>
      </c>
    </row>
    <row r="16">
      <c r="A16" s="2" t="inlineStr">
        <is>
          <t>Edit yellow Default Quote when pricing changes. Bundle is the default pitch.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4" customWidth="1" min="7" max="7"/>
    <col width="22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2" customWidth="1" min="14" max="14"/>
    <col width="28" customWidth="1" min="15" max="15"/>
  </cols>
  <sheetData>
    <row r="1">
      <c r="A1" s="1" t="inlineStr">
        <is>
          <t>Vox Ops — Leads (pipeline)</t>
        </is>
      </c>
    </row>
    <row r="2">
      <c r="A2" s="2" t="inlineStr">
        <is>
          <t>Every inquiry: BNI, website form, referral, cold. Update Status as they move.</t>
        </is>
      </c>
    </row>
    <row r="4" ht="32" customHeight="1">
      <c r="A4" s="15" t="inlineStr">
        <is>
          <t>Date</t>
        </is>
      </c>
      <c r="B4" s="15" t="inlineStr">
        <is>
          <t>Source</t>
        </is>
      </c>
      <c r="C4" s="15" t="inlineStr">
        <is>
          <t>Name</t>
        </is>
      </c>
      <c r="D4" s="15" t="inlineStr">
        <is>
          <t>Business</t>
        </is>
      </c>
      <c r="E4" s="15" t="inlineStr">
        <is>
          <t>Trade</t>
        </is>
      </c>
      <c r="F4" s="15" t="inlineStr">
        <is>
          <t>City</t>
        </is>
      </c>
      <c r="G4" s="15" t="inlineStr">
        <is>
          <t>Phone</t>
        </is>
      </c>
      <c r="H4" s="15" t="inlineStr">
        <is>
          <t>Email</t>
        </is>
      </c>
      <c r="I4" s="15" t="inlineStr">
        <is>
          <t>Status</t>
        </is>
      </c>
      <c r="J4" s="15" t="inlineStr">
        <is>
          <t>Interest</t>
        </is>
      </c>
      <c r="K4" s="15" t="inlineStr">
        <is>
          <t>Quoted $/mo</t>
        </is>
      </c>
      <c r="L4" s="15" t="inlineStr">
        <is>
          <t>Est. monthly leak $</t>
        </is>
      </c>
      <c r="M4" s="15" t="inlineStr">
        <is>
          <t>Next step</t>
        </is>
      </c>
      <c r="N4" s="15" t="inlineStr">
        <is>
          <t>Next date</t>
        </is>
      </c>
      <c r="O4" s="15" t="inlineStr">
        <is>
          <t>Notes</t>
        </is>
      </c>
    </row>
    <row r="5">
      <c r="A5" s="17" t="inlineStr">
        <is>
          <t>2026-07-19</t>
        </is>
      </c>
      <c r="B5" s="18" t="inlineStr">
        <is>
          <t>Website</t>
        </is>
      </c>
      <c r="C5" s="18" t="inlineStr"/>
      <c r="D5" s="18" t="inlineStr"/>
      <c r="E5" s="18" t="inlineStr">
        <is>
          <t>HVAC</t>
        </is>
      </c>
      <c r="F5" s="18" t="inlineStr">
        <is>
          <t>Turlock</t>
        </is>
      </c>
      <c r="G5" s="18" t="inlineStr"/>
      <c r="H5" s="18" t="inlineStr"/>
      <c r="I5" s="18" t="inlineStr">
        <is>
          <t>New</t>
        </is>
      </c>
      <c r="J5" s="18" t="inlineStr">
        <is>
          <t>Bundle</t>
        </is>
      </c>
      <c r="K5" s="12" t="n">
        <v>1500</v>
      </c>
      <c r="L5" s="12" t="inlineStr"/>
      <c r="M5" s="18" t="inlineStr">
        <is>
          <t>Book audit</t>
        </is>
      </c>
      <c r="N5" s="18" t="inlineStr"/>
      <c r="O5" s="18" t="inlineStr">
        <is>
          <t>Example row — replace or delete</t>
        </is>
      </c>
    </row>
    <row r="6">
      <c r="A6" s="17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2" t="n"/>
      <c r="L6" s="12" t="n"/>
      <c r="M6" s="18" t="n"/>
      <c r="N6" s="18" t="n"/>
      <c r="O6" s="18" t="n"/>
    </row>
    <row r="7">
      <c r="A7" s="17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2" t="n"/>
      <c r="L7" s="12" t="n"/>
      <c r="M7" s="18" t="n"/>
      <c r="N7" s="18" t="n"/>
      <c r="O7" s="18" t="n"/>
    </row>
    <row r="8">
      <c r="A8" s="17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2" t="n"/>
      <c r="L8" s="12" t="n"/>
      <c r="M8" s="18" t="n"/>
      <c r="N8" s="18" t="n"/>
      <c r="O8" s="18" t="n"/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2" t="n"/>
      <c r="L9" s="12" t="n"/>
      <c r="M9" s="18" t="n"/>
      <c r="N9" s="18" t="n"/>
      <c r="O9" s="18" t="n"/>
    </row>
    <row r="10">
      <c r="A10" s="17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2" t="n"/>
      <c r="L10" s="12" t="n"/>
      <c r="M10" s="18" t="n"/>
      <c r="N10" s="18" t="n"/>
      <c r="O10" s="18" t="n"/>
    </row>
    <row r="11">
      <c r="A11" s="17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2" t="n"/>
      <c r="L11" s="12" t="n"/>
      <c r="M11" s="18" t="n"/>
      <c r="N11" s="18" t="n"/>
      <c r="O11" s="18" t="n"/>
    </row>
    <row r="12">
      <c r="A12" s="17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2" t="n"/>
      <c r="L12" s="12" t="n"/>
      <c r="M12" s="18" t="n"/>
      <c r="N12" s="18" t="n"/>
      <c r="O12" s="18" t="n"/>
    </row>
    <row r="13">
      <c r="A13" s="17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2" t="n"/>
      <c r="L13" s="12" t="n"/>
      <c r="M13" s="18" t="n"/>
      <c r="N13" s="18" t="n"/>
      <c r="O13" s="18" t="n"/>
    </row>
    <row r="14">
      <c r="A14" s="17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2" t="n"/>
      <c r="L14" s="12" t="n"/>
      <c r="M14" s="18" t="n"/>
      <c r="N14" s="18" t="n"/>
      <c r="O14" s="18" t="n"/>
    </row>
    <row r="15">
      <c r="A15" s="17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2" t="n"/>
      <c r="L15" s="12" t="n"/>
      <c r="M15" s="18" t="n"/>
      <c r="N15" s="18" t="n"/>
      <c r="O15" s="18" t="n"/>
    </row>
    <row r="16">
      <c r="A16" s="17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2" t="n"/>
      <c r="L16" s="12" t="n"/>
      <c r="M16" s="18" t="n"/>
      <c r="N16" s="18" t="n"/>
      <c r="O16" s="18" t="n"/>
    </row>
    <row r="17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2" t="n"/>
      <c r="L17" s="12" t="n"/>
      <c r="M17" s="18" t="n"/>
      <c r="N17" s="18" t="n"/>
      <c r="O17" s="18" t="n"/>
    </row>
    <row r="18">
      <c r="A18" s="17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2" t="n"/>
      <c r="L18" s="12" t="n"/>
      <c r="M18" s="18" t="n"/>
      <c r="N18" s="18" t="n"/>
      <c r="O18" s="18" t="n"/>
    </row>
    <row r="19">
      <c r="A19" s="17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2" t="n"/>
      <c r="L19" s="12" t="n"/>
      <c r="M19" s="18" t="n"/>
      <c r="N19" s="18" t="n"/>
      <c r="O19" s="18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2" t="n"/>
      <c r="L20" s="12" t="n"/>
      <c r="M20" s="18" t="n"/>
      <c r="N20" s="18" t="n"/>
      <c r="O20" s="18" t="n"/>
    </row>
    <row r="21">
      <c r="A21" s="17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2" t="n"/>
      <c r="L21" s="12" t="n"/>
      <c r="M21" s="18" t="n"/>
      <c r="N21" s="18" t="n"/>
      <c r="O21" s="18" t="n"/>
    </row>
    <row r="22">
      <c r="A22" s="17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2" t="n"/>
      <c r="L22" s="12" t="n"/>
      <c r="M22" s="18" t="n"/>
      <c r="N22" s="18" t="n"/>
      <c r="O22" s="18" t="n"/>
    </row>
    <row r="23">
      <c r="A23" s="17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2" t="n"/>
      <c r="L23" s="12" t="n"/>
      <c r="M23" s="18" t="n"/>
      <c r="N23" s="18" t="n"/>
      <c r="O23" s="18" t="n"/>
    </row>
    <row r="24">
      <c r="A24" s="17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2" t="n"/>
      <c r="L24" s="12" t="n"/>
      <c r="M24" s="18" t="n"/>
      <c r="N24" s="18" t="n"/>
      <c r="O24" s="18" t="n"/>
    </row>
    <row r="25">
      <c r="A25" s="17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2" t="n"/>
      <c r="L25" s="12" t="n"/>
      <c r="M25" s="18" t="n"/>
      <c r="N25" s="18" t="n"/>
      <c r="O25" s="18" t="n"/>
    </row>
    <row r="26">
      <c r="A26" s="17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2" t="n"/>
      <c r="L26" s="12" t="n"/>
      <c r="M26" s="18" t="n"/>
      <c r="N26" s="18" t="n"/>
      <c r="O26" s="18" t="n"/>
    </row>
    <row r="27">
      <c r="A27" s="17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2" t="n"/>
      <c r="L27" s="12" t="n"/>
      <c r="M27" s="18" t="n"/>
      <c r="N27" s="18" t="n"/>
      <c r="O27" s="18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2" t="n"/>
      <c r="L28" s="12" t="n"/>
      <c r="M28" s="18" t="n"/>
      <c r="N28" s="18" t="n"/>
      <c r="O28" s="18" t="n"/>
    </row>
    <row r="29">
      <c r="A29" s="17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2" t="n"/>
      <c r="L29" s="12" t="n"/>
      <c r="M29" s="18" t="n"/>
      <c r="N29" s="18" t="n"/>
      <c r="O29" s="18" t="n"/>
    </row>
    <row r="30">
      <c r="A30" s="17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2" t="n"/>
      <c r="L30" s="12" t="n"/>
      <c r="M30" s="18" t="n"/>
      <c r="N30" s="18" t="n"/>
      <c r="O30" s="18" t="n"/>
    </row>
    <row r="31">
      <c r="A31" s="17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2" t="n"/>
      <c r="L31" s="12" t="n"/>
      <c r="M31" s="18" t="n"/>
      <c r="N31" s="18" t="n"/>
      <c r="O31" s="18" t="n"/>
    </row>
    <row r="32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2" t="n"/>
      <c r="L32" s="12" t="n"/>
      <c r="M32" s="18" t="n"/>
      <c r="N32" s="18" t="n"/>
      <c r="O32" s="18" t="n"/>
    </row>
    <row r="33">
      <c r="A33" s="17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2" t="n"/>
      <c r="L33" s="12" t="n"/>
      <c r="M33" s="18" t="n"/>
      <c r="N33" s="18" t="n"/>
      <c r="O33" s="18" t="n"/>
    </row>
    <row r="34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2" t="n"/>
      <c r="L34" s="12" t="n"/>
      <c r="M34" s="18" t="n"/>
      <c r="N34" s="18" t="n"/>
      <c r="O34" s="18" t="n"/>
    </row>
    <row r="35">
      <c r="A35" s="17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2" t="n"/>
      <c r="L35" s="12" t="n"/>
      <c r="M35" s="18" t="n"/>
      <c r="N35" s="18" t="n"/>
      <c r="O35" s="18" t="n"/>
    </row>
    <row r="36">
      <c r="A36" s="17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2" t="n"/>
      <c r="L36" s="12" t="n"/>
      <c r="M36" s="18" t="n"/>
      <c r="N36" s="18" t="n"/>
      <c r="O36" s="18" t="n"/>
    </row>
    <row r="37">
      <c r="A37" s="17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2" t="n"/>
      <c r="L37" s="12" t="n"/>
      <c r="M37" s="18" t="n"/>
      <c r="N37" s="18" t="n"/>
      <c r="O37" s="18" t="n"/>
    </row>
    <row r="38">
      <c r="A38" s="17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2" t="n"/>
      <c r="L38" s="12" t="n"/>
      <c r="M38" s="18" t="n"/>
      <c r="N38" s="18" t="n"/>
      <c r="O38" s="18" t="n"/>
    </row>
    <row r="39">
      <c r="A39" s="17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2" t="n"/>
      <c r="L39" s="12" t="n"/>
      <c r="M39" s="18" t="n"/>
      <c r="N39" s="18" t="n"/>
      <c r="O39" s="18" t="n"/>
    </row>
    <row r="40">
      <c r="A40" s="17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2" t="n"/>
      <c r="L40" s="12" t="n"/>
      <c r="M40" s="18" t="n"/>
      <c r="N40" s="18" t="n"/>
      <c r="O40" s="18" t="n"/>
    </row>
    <row r="41">
      <c r="A41" s="17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2" t="n"/>
      <c r="L41" s="12" t="n"/>
      <c r="M41" s="18" t="n"/>
      <c r="N41" s="18" t="n"/>
      <c r="O41" s="18" t="n"/>
    </row>
    <row r="42">
      <c r="A42" s="17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2" t="n"/>
      <c r="L42" s="12" t="n"/>
      <c r="M42" s="18" t="n"/>
      <c r="N42" s="18" t="n"/>
      <c r="O42" s="18" t="n"/>
    </row>
    <row r="43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2" t="n"/>
      <c r="L43" s="12" t="n"/>
      <c r="M43" s="18" t="n"/>
      <c r="N43" s="18" t="n"/>
      <c r="O43" s="18" t="n"/>
    </row>
    <row r="44">
      <c r="A44" s="17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2" t="n"/>
      <c r="L44" s="12" t="n"/>
      <c r="M44" s="18" t="n"/>
      <c r="N44" s="18" t="n"/>
      <c r="O44" s="18" t="n"/>
    </row>
    <row r="45">
      <c r="A45" s="17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2" t="n"/>
      <c r="L45" s="12" t="n"/>
      <c r="M45" s="18" t="n"/>
      <c r="N45" s="18" t="n"/>
      <c r="O45" s="18" t="n"/>
    </row>
    <row r="46">
      <c r="A46" s="17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2" t="n"/>
      <c r="L46" s="12" t="n"/>
      <c r="M46" s="18" t="n"/>
      <c r="N46" s="18" t="n"/>
      <c r="O46" s="18" t="n"/>
    </row>
    <row r="47">
      <c r="A47" s="17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2" t="n"/>
      <c r="L47" s="12" t="n"/>
      <c r="M47" s="18" t="n"/>
      <c r="N47" s="18" t="n"/>
      <c r="O47" s="18" t="n"/>
    </row>
    <row r="48">
      <c r="A48" s="17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2" t="n"/>
      <c r="L48" s="12" t="n"/>
      <c r="M48" s="18" t="n"/>
      <c r="N48" s="18" t="n"/>
      <c r="O48" s="18" t="n"/>
    </row>
    <row r="49">
      <c r="A49" s="17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2" t="n"/>
      <c r="L49" s="12" t="n"/>
      <c r="M49" s="18" t="n"/>
      <c r="N49" s="18" t="n"/>
      <c r="O49" s="18" t="n"/>
    </row>
    <row r="50">
      <c r="A50" s="17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2" t="n"/>
      <c r="L50" s="12" t="n"/>
      <c r="M50" s="18" t="n"/>
      <c r="N50" s="18" t="n"/>
      <c r="O50" s="18" t="n"/>
    </row>
    <row r="51">
      <c r="A51" s="17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2" t="n"/>
      <c r="L51" s="12" t="n"/>
      <c r="M51" s="18" t="n"/>
      <c r="N51" s="18" t="n"/>
      <c r="O51" s="18" t="n"/>
    </row>
    <row r="52">
      <c r="A52" s="17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2" t="n"/>
      <c r="L52" s="12" t="n"/>
      <c r="M52" s="18" t="n"/>
      <c r="N52" s="18" t="n"/>
      <c r="O52" s="18" t="n"/>
    </row>
    <row r="53">
      <c r="A53" s="17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2" t="n"/>
      <c r="L53" s="12" t="n"/>
      <c r="M53" s="18" t="n"/>
      <c r="N53" s="18" t="n"/>
      <c r="O53" s="18" t="n"/>
    </row>
    <row r="54">
      <c r="A54" s="17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2" t="n"/>
      <c r="L54" s="12" t="n"/>
      <c r="M54" s="18" t="n"/>
      <c r="N54" s="18" t="n"/>
      <c r="O54" s="18" t="n"/>
    </row>
    <row r="56">
      <c r="A56" s="11" t="inlineStr">
        <is>
          <t>Pipeline counts</t>
        </is>
      </c>
    </row>
    <row r="57">
      <c r="A57" s="19" t="inlineStr">
        <is>
          <t>New</t>
        </is>
      </c>
      <c r="B57" s="19">
        <f>COUNTIF(I5:I54,"New")</f>
        <v/>
      </c>
    </row>
    <row r="58">
      <c r="A58" s="19" t="inlineStr">
        <is>
          <t>Audit booked</t>
        </is>
      </c>
      <c r="B58" s="19">
        <f>COUNTIF(I5:I54,"Audit booked")</f>
        <v/>
      </c>
    </row>
    <row r="59">
      <c r="A59" s="19" t="inlineStr">
        <is>
          <t>Audit done</t>
        </is>
      </c>
      <c r="B59" s="19">
        <f>COUNTIF(I5:I54,"Audit done")</f>
        <v/>
      </c>
    </row>
    <row r="60">
      <c r="A60" s="19" t="inlineStr">
        <is>
          <t>Setup</t>
        </is>
      </c>
      <c r="B60" s="19">
        <f>COUNTIF(I5:I54,"Setup")</f>
        <v/>
      </c>
    </row>
    <row r="61">
      <c r="A61" s="19" t="inlineStr">
        <is>
          <t>Live (from leads tab)</t>
        </is>
      </c>
      <c r="B61" s="19">
        <f>COUNTIF(I5:I54,"Live")</f>
        <v/>
      </c>
    </row>
    <row r="62">
      <c r="A62" s="19" t="inlineStr">
        <is>
          <t>Lost</t>
        </is>
      </c>
      <c r="B62" s="19">
        <f>COUNTIF(I5:I54,"Lost")</f>
        <v/>
      </c>
    </row>
    <row r="63">
      <c r="A63" s="19" t="inlineStr">
        <is>
          <t>Total named leads</t>
        </is>
      </c>
      <c r="B63" s="19">
        <f>COUNTA(C5:C54)</f>
        <v/>
      </c>
    </row>
  </sheetData>
  <autoFilter ref="A4:O54"/>
  <mergeCells count="2">
    <mergeCell ref="A1:O1"/>
    <mergeCell ref="A2:O2"/>
  </mergeCells>
  <dataValidations count="5">
    <dataValidation sqref="B5:B54" showDropDown="0" showInputMessage="0" showErrorMessage="0" allowBlank="1" type="list">
      <formula1>"BNI,Website,Referral,Cold,Other"</formula1>
    </dataValidation>
    <dataValidation sqref="E5:E54" showDropDown="0" showInputMessage="0" showErrorMessage="0" allowBlank="1" type="list">
      <formula1>"HVAC,Plumbing,Electrical,Other"</formula1>
    </dataValidation>
    <dataValidation sqref="F5:F54" showDropDown="0" showInputMessage="0" showErrorMessage="0" allowBlank="1" type="list">
      <formula1>"Turlock,Modesto,Manteca,Other"</formula1>
    </dataValidation>
    <dataValidation sqref="I5:I54" showDropDown="0" showInputMessage="0" showErrorMessage="0" allowBlank="1" type="list">
      <formula1>"New,Audit booked,Audit done,Setup,Live,Lost"</formula1>
    </dataValidation>
    <dataValidation sqref="J5:J54" showDropDown="0" showInputMessage="0" showErrorMessage="0" allowBlank="1" type="list">
      <formula1>"Reviews,Receptionist,Voice,Bundle"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>
      <c r="A1" s="1" t="inlineStr">
        <is>
          <t>Vox Ops — Clients (paying)</t>
        </is>
      </c>
    </row>
    <row r="2">
      <c r="A2" s="2" t="inlineStr">
        <is>
          <t>Add a row when they pay / go live. MRR drives Summary.</t>
        </is>
      </c>
    </row>
    <row r="4" ht="32" customHeight="1">
      <c r="A4" s="15" t="inlineStr">
        <is>
          <t>Go-live date</t>
        </is>
      </c>
      <c r="B4" s="15" t="inlineStr">
        <is>
          <t>Business</t>
        </is>
      </c>
      <c r="C4" s="15" t="inlineStr">
        <is>
          <t>Contact</t>
        </is>
      </c>
      <c r="D4" s="15" t="inlineStr">
        <is>
          <t>Trade</t>
        </is>
      </c>
      <c r="E4" s="15" t="inlineStr">
        <is>
          <t>City</t>
        </is>
      </c>
      <c r="F4" s="15" t="inlineStr">
        <is>
          <t>SKU</t>
        </is>
      </c>
      <c r="G4" s="15" t="inlineStr">
        <is>
          <t>MRR ($)</t>
        </is>
      </c>
      <c r="H4" s="15" t="inlineStr">
        <is>
          <t>Cost to serve $/mo</t>
        </is>
      </c>
      <c r="I4" s="15" t="inlineStr">
        <is>
          <t>Gross margin $</t>
        </is>
      </c>
      <c r="J4" s="15" t="inlineStr">
        <is>
          <t>Reviews start</t>
        </is>
      </c>
      <c r="K4" s="15" t="inlineStr">
        <is>
          <t>Reviews now</t>
        </is>
      </c>
      <c r="L4" s="15" t="inlineStr">
        <is>
          <t>Health</t>
        </is>
      </c>
      <c r="M4" s="15" t="inlineStr">
        <is>
          <t>Report sent?</t>
        </is>
      </c>
      <c r="N4" s="15" t="inlineStr">
        <is>
          <t>Notes</t>
        </is>
      </c>
    </row>
    <row r="5">
      <c r="A5" s="17" t="n"/>
      <c r="B5" s="18" t="n"/>
      <c r="C5" s="18" t="n"/>
      <c r="D5" s="18" t="n"/>
      <c r="E5" s="18" t="n"/>
      <c r="F5" s="18" t="n"/>
      <c r="G5" s="12" t="n"/>
      <c r="H5" s="12" t="n"/>
      <c r="I5" s="7">
        <f>IF(G5="","",G5-H5)</f>
        <v/>
      </c>
      <c r="J5" s="18" t="n"/>
      <c r="K5" s="18" t="n"/>
      <c r="L5" s="18" t="n"/>
      <c r="M5" s="18" t="n"/>
      <c r="N5" s="18" t="n"/>
    </row>
    <row r="6">
      <c r="A6" s="17" t="n"/>
      <c r="B6" s="18" t="n"/>
      <c r="C6" s="18" t="n"/>
      <c r="D6" s="18" t="n"/>
      <c r="E6" s="18" t="n"/>
      <c r="F6" s="18" t="n"/>
      <c r="G6" s="12" t="n"/>
      <c r="H6" s="12" t="n"/>
      <c r="I6" s="7">
        <f>IF(G6="","",G6-H6)</f>
        <v/>
      </c>
      <c r="J6" s="18" t="n"/>
      <c r="K6" s="18" t="n"/>
      <c r="L6" s="18" t="n"/>
      <c r="M6" s="18" t="n"/>
      <c r="N6" s="18" t="n"/>
    </row>
    <row r="7">
      <c r="A7" s="17" t="n"/>
      <c r="B7" s="18" t="n"/>
      <c r="C7" s="18" t="n"/>
      <c r="D7" s="18" t="n"/>
      <c r="E7" s="18" t="n"/>
      <c r="F7" s="18" t="n"/>
      <c r="G7" s="12" t="n"/>
      <c r="H7" s="12" t="n"/>
      <c r="I7" s="7">
        <f>IF(G7="","",G7-H7)</f>
        <v/>
      </c>
      <c r="J7" s="18" t="n"/>
      <c r="K7" s="18" t="n"/>
      <c r="L7" s="18" t="n"/>
      <c r="M7" s="18" t="n"/>
      <c r="N7" s="18" t="n"/>
    </row>
    <row r="8">
      <c r="A8" s="17" t="n"/>
      <c r="B8" s="18" t="n"/>
      <c r="C8" s="18" t="n"/>
      <c r="D8" s="18" t="n"/>
      <c r="E8" s="18" t="n"/>
      <c r="F8" s="18" t="n"/>
      <c r="G8" s="12" t="n"/>
      <c r="H8" s="12" t="n"/>
      <c r="I8" s="7">
        <f>IF(G8="","",G8-H8)</f>
        <v/>
      </c>
      <c r="J8" s="18" t="n"/>
      <c r="K8" s="18" t="n"/>
      <c r="L8" s="18" t="n"/>
      <c r="M8" s="18" t="n"/>
      <c r="N8" s="18" t="n"/>
    </row>
    <row r="9">
      <c r="A9" s="17" t="n"/>
      <c r="B9" s="18" t="n"/>
      <c r="C9" s="18" t="n"/>
      <c r="D9" s="18" t="n"/>
      <c r="E9" s="18" t="n"/>
      <c r="F9" s="18" t="n"/>
      <c r="G9" s="12" t="n"/>
      <c r="H9" s="12" t="n"/>
      <c r="I9" s="7">
        <f>IF(G9="","",G9-H9)</f>
        <v/>
      </c>
      <c r="J9" s="18" t="n"/>
      <c r="K9" s="18" t="n"/>
      <c r="L9" s="18" t="n"/>
      <c r="M9" s="18" t="n"/>
      <c r="N9" s="18" t="n"/>
    </row>
    <row r="10">
      <c r="A10" s="17" t="n"/>
      <c r="B10" s="18" t="n"/>
      <c r="C10" s="18" t="n"/>
      <c r="D10" s="18" t="n"/>
      <c r="E10" s="18" t="n"/>
      <c r="F10" s="18" t="n"/>
      <c r="G10" s="12" t="n"/>
      <c r="H10" s="12" t="n"/>
      <c r="I10" s="7">
        <f>IF(G10="","",G10-H10)</f>
        <v/>
      </c>
      <c r="J10" s="18" t="n"/>
      <c r="K10" s="18" t="n"/>
      <c r="L10" s="18" t="n"/>
      <c r="M10" s="18" t="n"/>
      <c r="N10" s="18" t="n"/>
    </row>
    <row r="11">
      <c r="A11" s="17" t="n"/>
      <c r="B11" s="18" t="n"/>
      <c r="C11" s="18" t="n"/>
      <c r="D11" s="18" t="n"/>
      <c r="E11" s="18" t="n"/>
      <c r="F11" s="18" t="n"/>
      <c r="G11" s="12" t="n"/>
      <c r="H11" s="12" t="n"/>
      <c r="I11" s="7">
        <f>IF(G11="","",G11-H11)</f>
        <v/>
      </c>
      <c r="J11" s="18" t="n"/>
      <c r="K11" s="18" t="n"/>
      <c r="L11" s="18" t="n"/>
      <c r="M11" s="18" t="n"/>
      <c r="N11" s="18" t="n"/>
    </row>
    <row r="12">
      <c r="A12" s="17" t="n"/>
      <c r="B12" s="18" t="n"/>
      <c r="C12" s="18" t="n"/>
      <c r="D12" s="18" t="n"/>
      <c r="E12" s="18" t="n"/>
      <c r="F12" s="18" t="n"/>
      <c r="G12" s="12" t="n"/>
      <c r="H12" s="12" t="n"/>
      <c r="I12" s="7">
        <f>IF(G12="","",G12-H12)</f>
        <v/>
      </c>
      <c r="J12" s="18" t="n"/>
      <c r="K12" s="18" t="n"/>
      <c r="L12" s="18" t="n"/>
      <c r="M12" s="18" t="n"/>
      <c r="N12" s="18" t="n"/>
    </row>
    <row r="13">
      <c r="A13" s="17" t="n"/>
      <c r="B13" s="18" t="n"/>
      <c r="C13" s="18" t="n"/>
      <c r="D13" s="18" t="n"/>
      <c r="E13" s="18" t="n"/>
      <c r="F13" s="18" t="n"/>
      <c r="G13" s="12" t="n"/>
      <c r="H13" s="12" t="n"/>
      <c r="I13" s="7">
        <f>IF(G13="","",G13-H13)</f>
        <v/>
      </c>
      <c r="J13" s="18" t="n"/>
      <c r="K13" s="18" t="n"/>
      <c r="L13" s="18" t="n"/>
      <c r="M13" s="18" t="n"/>
      <c r="N13" s="18" t="n"/>
    </row>
    <row r="14">
      <c r="A14" s="17" t="n"/>
      <c r="B14" s="18" t="n"/>
      <c r="C14" s="18" t="n"/>
      <c r="D14" s="18" t="n"/>
      <c r="E14" s="18" t="n"/>
      <c r="F14" s="18" t="n"/>
      <c r="G14" s="12" t="n"/>
      <c r="H14" s="12" t="n"/>
      <c r="I14" s="7">
        <f>IF(G14="","",G14-H14)</f>
        <v/>
      </c>
      <c r="J14" s="18" t="n"/>
      <c r="K14" s="18" t="n"/>
      <c r="L14" s="18" t="n"/>
      <c r="M14" s="18" t="n"/>
      <c r="N14" s="18" t="n"/>
    </row>
    <row r="15">
      <c r="A15" s="17" t="n"/>
      <c r="B15" s="18" t="n"/>
      <c r="C15" s="18" t="n"/>
      <c r="D15" s="18" t="n"/>
      <c r="E15" s="18" t="n"/>
      <c r="F15" s="18" t="n"/>
      <c r="G15" s="12" t="n"/>
      <c r="H15" s="12" t="n"/>
      <c r="I15" s="7">
        <f>IF(G15="","",G15-H15)</f>
        <v/>
      </c>
      <c r="J15" s="18" t="n"/>
      <c r="K15" s="18" t="n"/>
      <c r="L15" s="18" t="n"/>
      <c r="M15" s="18" t="n"/>
      <c r="N15" s="18" t="n"/>
    </row>
    <row r="16">
      <c r="A16" s="17" t="n"/>
      <c r="B16" s="18" t="n"/>
      <c r="C16" s="18" t="n"/>
      <c r="D16" s="18" t="n"/>
      <c r="E16" s="18" t="n"/>
      <c r="F16" s="18" t="n"/>
      <c r="G16" s="12" t="n"/>
      <c r="H16" s="12" t="n"/>
      <c r="I16" s="7">
        <f>IF(G16="","",G16-H16)</f>
        <v/>
      </c>
      <c r="J16" s="18" t="n"/>
      <c r="K16" s="18" t="n"/>
      <c r="L16" s="18" t="n"/>
      <c r="M16" s="18" t="n"/>
      <c r="N16" s="18" t="n"/>
    </row>
    <row r="17">
      <c r="A17" s="17" t="n"/>
      <c r="B17" s="18" t="n"/>
      <c r="C17" s="18" t="n"/>
      <c r="D17" s="18" t="n"/>
      <c r="E17" s="18" t="n"/>
      <c r="F17" s="18" t="n"/>
      <c r="G17" s="12" t="n"/>
      <c r="H17" s="12" t="n"/>
      <c r="I17" s="7">
        <f>IF(G17="","",G17-H17)</f>
        <v/>
      </c>
      <c r="J17" s="18" t="n"/>
      <c r="K17" s="18" t="n"/>
      <c r="L17" s="18" t="n"/>
      <c r="M17" s="18" t="n"/>
      <c r="N17" s="18" t="n"/>
    </row>
    <row r="18">
      <c r="A18" s="17" t="n"/>
      <c r="B18" s="18" t="n"/>
      <c r="C18" s="18" t="n"/>
      <c r="D18" s="18" t="n"/>
      <c r="E18" s="18" t="n"/>
      <c r="F18" s="18" t="n"/>
      <c r="G18" s="12" t="n"/>
      <c r="H18" s="12" t="n"/>
      <c r="I18" s="7">
        <f>IF(G18="","",G18-H18)</f>
        <v/>
      </c>
      <c r="J18" s="18" t="n"/>
      <c r="K18" s="18" t="n"/>
      <c r="L18" s="18" t="n"/>
      <c r="M18" s="18" t="n"/>
      <c r="N18" s="18" t="n"/>
    </row>
    <row r="19">
      <c r="A19" s="17" t="n"/>
      <c r="B19" s="18" t="n"/>
      <c r="C19" s="18" t="n"/>
      <c r="D19" s="18" t="n"/>
      <c r="E19" s="18" t="n"/>
      <c r="F19" s="18" t="n"/>
      <c r="G19" s="12" t="n"/>
      <c r="H19" s="12" t="n"/>
      <c r="I19" s="7">
        <f>IF(G19="","",G19-H19)</f>
        <v/>
      </c>
      <c r="J19" s="18" t="n"/>
      <c r="K19" s="18" t="n"/>
      <c r="L19" s="18" t="n"/>
      <c r="M19" s="18" t="n"/>
      <c r="N19" s="18" t="n"/>
    </row>
    <row r="20">
      <c r="A20" s="17" t="n"/>
      <c r="B20" s="18" t="n"/>
      <c r="C20" s="18" t="n"/>
      <c r="D20" s="18" t="n"/>
      <c r="E20" s="18" t="n"/>
      <c r="F20" s="18" t="n"/>
      <c r="G20" s="12" t="n"/>
      <c r="H20" s="12" t="n"/>
      <c r="I20" s="7">
        <f>IF(G20="","",G20-H20)</f>
        <v/>
      </c>
      <c r="J20" s="18" t="n"/>
      <c r="K20" s="18" t="n"/>
      <c r="L20" s="18" t="n"/>
      <c r="M20" s="18" t="n"/>
      <c r="N20" s="18" t="n"/>
    </row>
    <row r="21">
      <c r="A21" s="17" t="n"/>
      <c r="B21" s="18" t="n"/>
      <c r="C21" s="18" t="n"/>
      <c r="D21" s="18" t="n"/>
      <c r="E21" s="18" t="n"/>
      <c r="F21" s="18" t="n"/>
      <c r="G21" s="12" t="n"/>
      <c r="H21" s="12" t="n"/>
      <c r="I21" s="7">
        <f>IF(G21="","",G21-H21)</f>
        <v/>
      </c>
      <c r="J21" s="18" t="n"/>
      <c r="K21" s="18" t="n"/>
      <c r="L21" s="18" t="n"/>
      <c r="M21" s="18" t="n"/>
      <c r="N21" s="18" t="n"/>
    </row>
    <row r="22">
      <c r="A22" s="17" t="n"/>
      <c r="B22" s="18" t="n"/>
      <c r="C22" s="18" t="n"/>
      <c r="D22" s="18" t="n"/>
      <c r="E22" s="18" t="n"/>
      <c r="F22" s="18" t="n"/>
      <c r="G22" s="12" t="n"/>
      <c r="H22" s="12" t="n"/>
      <c r="I22" s="7">
        <f>IF(G22="","",G22-H22)</f>
        <v/>
      </c>
      <c r="J22" s="18" t="n"/>
      <c r="K22" s="18" t="n"/>
      <c r="L22" s="18" t="n"/>
      <c r="M22" s="18" t="n"/>
      <c r="N22" s="18" t="n"/>
    </row>
    <row r="23">
      <c r="A23" s="17" t="n"/>
      <c r="B23" s="18" t="n"/>
      <c r="C23" s="18" t="n"/>
      <c r="D23" s="18" t="n"/>
      <c r="E23" s="18" t="n"/>
      <c r="F23" s="18" t="n"/>
      <c r="G23" s="12" t="n"/>
      <c r="H23" s="12" t="n"/>
      <c r="I23" s="7">
        <f>IF(G23="","",G23-H23)</f>
        <v/>
      </c>
      <c r="J23" s="18" t="n"/>
      <c r="K23" s="18" t="n"/>
      <c r="L23" s="18" t="n"/>
      <c r="M23" s="18" t="n"/>
      <c r="N23" s="18" t="n"/>
    </row>
    <row r="24">
      <c r="A24" s="17" t="n"/>
      <c r="B24" s="18" t="n"/>
      <c r="C24" s="18" t="n"/>
      <c r="D24" s="18" t="n"/>
      <c r="E24" s="18" t="n"/>
      <c r="F24" s="18" t="n"/>
      <c r="G24" s="12" t="n"/>
      <c r="H24" s="12" t="n"/>
      <c r="I24" s="7">
        <f>IF(G24="","",G24-H24)</f>
        <v/>
      </c>
      <c r="J24" s="18" t="n"/>
      <c r="K24" s="18" t="n"/>
      <c r="L24" s="18" t="n"/>
      <c r="M24" s="18" t="n"/>
      <c r="N24" s="18" t="n"/>
    </row>
    <row r="25">
      <c r="A25" s="17" t="n"/>
      <c r="B25" s="18" t="n"/>
      <c r="C25" s="18" t="n"/>
      <c r="D25" s="18" t="n"/>
      <c r="E25" s="18" t="n"/>
      <c r="F25" s="18" t="n"/>
      <c r="G25" s="12" t="n"/>
      <c r="H25" s="12" t="n"/>
      <c r="I25" s="7">
        <f>IF(G25="","",G25-H25)</f>
        <v/>
      </c>
      <c r="J25" s="18" t="n"/>
      <c r="K25" s="18" t="n"/>
      <c r="L25" s="18" t="n"/>
      <c r="M25" s="18" t="n"/>
      <c r="N25" s="18" t="n"/>
    </row>
    <row r="26">
      <c r="A26" s="17" t="n"/>
      <c r="B26" s="18" t="n"/>
      <c r="C26" s="18" t="n"/>
      <c r="D26" s="18" t="n"/>
      <c r="E26" s="18" t="n"/>
      <c r="F26" s="18" t="n"/>
      <c r="G26" s="12" t="n"/>
      <c r="H26" s="12" t="n"/>
      <c r="I26" s="7">
        <f>IF(G26="","",G26-H26)</f>
        <v/>
      </c>
      <c r="J26" s="18" t="n"/>
      <c r="K26" s="18" t="n"/>
      <c r="L26" s="18" t="n"/>
      <c r="M26" s="18" t="n"/>
      <c r="N26" s="18" t="n"/>
    </row>
    <row r="27">
      <c r="A27" s="17" t="n"/>
      <c r="B27" s="18" t="n"/>
      <c r="C27" s="18" t="n"/>
      <c r="D27" s="18" t="n"/>
      <c r="E27" s="18" t="n"/>
      <c r="F27" s="18" t="n"/>
      <c r="G27" s="12" t="n"/>
      <c r="H27" s="12" t="n"/>
      <c r="I27" s="7">
        <f>IF(G27="","",G27-H27)</f>
        <v/>
      </c>
      <c r="J27" s="18" t="n"/>
      <c r="K27" s="18" t="n"/>
      <c r="L27" s="18" t="n"/>
      <c r="M27" s="18" t="n"/>
      <c r="N27" s="18" t="n"/>
    </row>
    <row r="28">
      <c r="A28" s="17" t="n"/>
      <c r="B28" s="18" t="n"/>
      <c r="C28" s="18" t="n"/>
      <c r="D28" s="18" t="n"/>
      <c r="E28" s="18" t="n"/>
      <c r="F28" s="18" t="n"/>
      <c r="G28" s="12" t="n"/>
      <c r="H28" s="12" t="n"/>
      <c r="I28" s="7">
        <f>IF(G28="","",G28-H28)</f>
        <v/>
      </c>
      <c r="J28" s="18" t="n"/>
      <c r="K28" s="18" t="n"/>
      <c r="L28" s="18" t="n"/>
      <c r="M28" s="18" t="n"/>
      <c r="N28" s="18" t="n"/>
    </row>
    <row r="29">
      <c r="A29" s="17" t="n"/>
      <c r="B29" s="18" t="n"/>
      <c r="C29" s="18" t="n"/>
      <c r="D29" s="18" t="n"/>
      <c r="E29" s="18" t="n"/>
      <c r="F29" s="18" t="n"/>
      <c r="G29" s="12" t="n"/>
      <c r="H29" s="12" t="n"/>
      <c r="I29" s="7">
        <f>IF(G29="","",G29-H29)</f>
        <v/>
      </c>
      <c r="J29" s="18" t="n"/>
      <c r="K29" s="18" t="n"/>
      <c r="L29" s="18" t="n"/>
      <c r="M29" s="18" t="n"/>
      <c r="N29" s="18" t="n"/>
    </row>
    <row r="30">
      <c r="A30" s="17" t="n"/>
      <c r="B30" s="18" t="n"/>
      <c r="C30" s="18" t="n"/>
      <c r="D30" s="18" t="n"/>
      <c r="E30" s="18" t="n"/>
      <c r="F30" s="18" t="n"/>
      <c r="G30" s="12" t="n"/>
      <c r="H30" s="12" t="n"/>
      <c r="I30" s="7">
        <f>IF(G30="","",G30-H30)</f>
        <v/>
      </c>
      <c r="J30" s="18" t="n"/>
      <c r="K30" s="18" t="n"/>
      <c r="L30" s="18" t="n"/>
      <c r="M30" s="18" t="n"/>
      <c r="N30" s="18" t="n"/>
    </row>
    <row r="31">
      <c r="A31" s="17" t="n"/>
      <c r="B31" s="18" t="n"/>
      <c r="C31" s="18" t="n"/>
      <c r="D31" s="18" t="n"/>
      <c r="E31" s="18" t="n"/>
      <c r="F31" s="18" t="n"/>
      <c r="G31" s="12" t="n"/>
      <c r="H31" s="12" t="n"/>
      <c r="I31" s="7">
        <f>IF(G31="","",G31-H31)</f>
        <v/>
      </c>
      <c r="J31" s="18" t="n"/>
      <c r="K31" s="18" t="n"/>
      <c r="L31" s="18" t="n"/>
      <c r="M31" s="18" t="n"/>
      <c r="N31" s="18" t="n"/>
    </row>
    <row r="32">
      <c r="A32" s="17" t="n"/>
      <c r="B32" s="18" t="n"/>
      <c r="C32" s="18" t="n"/>
      <c r="D32" s="18" t="n"/>
      <c r="E32" s="18" t="n"/>
      <c r="F32" s="18" t="n"/>
      <c r="G32" s="12" t="n"/>
      <c r="H32" s="12" t="n"/>
      <c r="I32" s="7">
        <f>IF(G32="","",G32-H32)</f>
        <v/>
      </c>
      <c r="J32" s="18" t="n"/>
      <c r="K32" s="18" t="n"/>
      <c r="L32" s="18" t="n"/>
      <c r="M32" s="18" t="n"/>
      <c r="N32" s="18" t="n"/>
    </row>
    <row r="33">
      <c r="A33" s="17" t="n"/>
      <c r="B33" s="18" t="n"/>
      <c r="C33" s="18" t="n"/>
      <c r="D33" s="18" t="n"/>
      <c r="E33" s="18" t="n"/>
      <c r="F33" s="18" t="n"/>
      <c r="G33" s="12" t="n"/>
      <c r="H33" s="12" t="n"/>
      <c r="I33" s="7">
        <f>IF(G33="","",G33-H33)</f>
        <v/>
      </c>
      <c r="J33" s="18" t="n"/>
      <c r="K33" s="18" t="n"/>
      <c r="L33" s="18" t="n"/>
      <c r="M33" s="18" t="n"/>
      <c r="N33" s="18" t="n"/>
    </row>
    <row r="34">
      <c r="A34" s="17" t="n"/>
      <c r="B34" s="18" t="n"/>
      <c r="C34" s="18" t="n"/>
      <c r="D34" s="18" t="n"/>
      <c r="E34" s="18" t="n"/>
      <c r="F34" s="18" t="n"/>
      <c r="G34" s="12" t="n"/>
      <c r="H34" s="12" t="n"/>
      <c r="I34" s="7">
        <f>IF(G34="","",G34-H34)</f>
        <v/>
      </c>
      <c r="J34" s="18" t="n"/>
      <c r="K34" s="18" t="n"/>
      <c r="L34" s="18" t="n"/>
      <c r="M34" s="18" t="n"/>
      <c r="N34" s="18" t="n"/>
    </row>
    <row r="37">
      <c r="A37" s="11" t="inlineStr">
        <is>
          <t>Totals</t>
        </is>
      </c>
    </row>
    <row r="38">
      <c r="A38" t="inlineStr">
        <is>
          <t>Active clients</t>
        </is>
      </c>
      <c r="B38" s="20">
        <f>COUNTA(B5:B34)</f>
        <v/>
      </c>
    </row>
    <row r="39">
      <c r="A39" t="inlineStr">
        <is>
          <t>Total MRR</t>
        </is>
      </c>
      <c r="B39" s="21">
        <f>SUM(G5:G34)</f>
        <v/>
      </c>
    </row>
    <row r="40">
      <c r="A40" t="inlineStr">
        <is>
          <t>Total cost to serve</t>
        </is>
      </c>
      <c r="B40" s="21">
        <f>SUM(H5:H34)</f>
        <v/>
      </c>
    </row>
    <row r="41">
      <c r="A41" t="inlineStr">
        <is>
          <t>Total gross margin</t>
        </is>
      </c>
      <c r="B41" s="21">
        <f>SUM(I5:I34)</f>
        <v/>
      </c>
    </row>
  </sheetData>
  <autoFilter ref="A4:N34"/>
  <mergeCells count="2">
    <mergeCell ref="A2:N2"/>
    <mergeCell ref="A1:N1"/>
  </mergeCells>
  <dataValidations count="5">
    <dataValidation sqref="D5:D34" showDropDown="0" showInputMessage="0" showErrorMessage="0" allowBlank="1" type="list">
      <formula1>"HVAC,Plumbing,Electrical,Other"</formula1>
    </dataValidation>
    <dataValidation sqref="E5:E34" showDropDown="0" showInputMessage="0" showErrorMessage="0" allowBlank="1" type="list">
      <formula1>"Turlock,Modesto,Manteca,Other"</formula1>
    </dataValidation>
    <dataValidation sqref="F5:F34" showDropDown="0" showInputMessage="0" showErrorMessage="0" allowBlank="1" type="list">
      <formula1>"Reviews,Receptionist,Voice,Bundle"</formula1>
    </dataValidation>
    <dataValidation sqref="L5:L34" showDropDown="0" showInputMessage="0" showErrorMessage="0" allowBlank="1" type="list">
      <formula1>"Green,Yellow,Churn risk"</formula1>
    </dataValidation>
    <dataValidation sqref="M5:M3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36" customWidth="1" min="5" max="5"/>
  </cols>
  <sheetData>
    <row r="1">
      <c r="A1" s="1" t="inlineStr">
        <is>
          <t>Vox Ops — Costs (your tools &amp; overhead)</t>
        </is>
      </c>
    </row>
    <row r="2">
      <c r="A2" s="2" t="inlineStr">
        <is>
          <t>What YOU pay. Leave $0 until you spend. Annual → monthly average.</t>
        </is>
      </c>
    </row>
    <row r="4">
      <c r="A4" s="15" t="inlineStr">
        <is>
          <t>Item</t>
        </is>
      </c>
      <c r="B4" s="15" t="inlineStr">
        <is>
          <t>$/mo</t>
        </is>
      </c>
      <c r="C4" s="15" t="inlineStr">
        <is>
          <t>Category</t>
        </is>
      </c>
      <c r="D4" s="15" t="inlineStr">
        <is>
          <t>Active?</t>
        </is>
      </c>
      <c r="E4" s="15" t="inlineStr">
        <is>
          <t>Notes</t>
        </is>
      </c>
    </row>
    <row r="5">
      <c r="A5" s="18" t="inlineStr">
        <is>
          <t>Domain / DNS</t>
        </is>
      </c>
      <c r="B5" s="12" t="n">
        <v>0</v>
      </c>
      <c r="C5" s="18" t="inlineStr">
        <is>
          <t>Infra</t>
        </is>
      </c>
      <c r="D5" s="18" t="inlineStr">
        <is>
          <t>Y</t>
        </is>
      </c>
      <c r="E5" s="18" t="inlineStr">
        <is>
          <t>Yearly / 12</t>
        </is>
      </c>
    </row>
    <row r="6">
      <c r="A6" s="18" t="inlineStr">
        <is>
          <t>Vercel / hosting</t>
        </is>
      </c>
      <c r="B6" s="12" t="n">
        <v>0</v>
      </c>
      <c r="C6" s="18" t="inlineStr">
        <is>
          <t>Infra</t>
        </is>
      </c>
      <c r="D6" s="18" t="inlineStr">
        <is>
          <t>Y</t>
        </is>
      </c>
      <c r="E6" s="18" t="inlineStr">
        <is>
          <t>Hobby free until scale</t>
        </is>
      </c>
    </row>
    <row r="7">
      <c r="A7" s="18" t="inlineStr">
        <is>
          <t>Formspree</t>
        </is>
      </c>
      <c r="B7" s="12" t="n">
        <v>0</v>
      </c>
      <c r="C7" s="18" t="inlineStr">
        <is>
          <t>Tools</t>
        </is>
      </c>
      <c r="D7" s="18" t="inlineStr">
        <is>
          <t>Y</t>
        </is>
      </c>
      <c r="E7" s="18" t="inlineStr">
        <is>
          <t>Free tier</t>
        </is>
      </c>
    </row>
    <row r="8">
      <c r="A8" s="18" t="inlineStr">
        <is>
          <t>Google Workspace / email</t>
        </is>
      </c>
      <c r="B8" s="12" t="n">
        <v>0</v>
      </c>
      <c r="C8" s="18" t="inlineStr">
        <is>
          <t>Tools</t>
        </is>
      </c>
      <c r="D8" s="18" t="inlineStr">
        <is>
          <t>Y</t>
        </is>
      </c>
      <c r="E8" s="18" t="inlineStr">
        <is>
          <t>If you pay for email</t>
        </is>
      </c>
    </row>
    <row r="9">
      <c r="A9" s="18" t="inlineStr">
        <is>
          <t>xAI / SpaceXAI API</t>
        </is>
      </c>
      <c r="B9" s="12" t="n">
        <v>0</v>
      </c>
      <c r="C9" s="18" t="inlineStr">
        <is>
          <t>AI</t>
        </is>
      </c>
      <c r="D9" s="18" t="inlineStr">
        <is>
          <t>N</t>
        </is>
      </c>
      <c r="E9" s="18" t="inlineStr">
        <is>
          <t>Only when live PoC is on</t>
        </is>
      </c>
    </row>
    <row r="10">
      <c r="A10" s="18" t="inlineStr">
        <is>
          <t>Phone / telephony</t>
        </is>
      </c>
      <c r="B10" s="12" t="n">
        <v>0</v>
      </c>
      <c r="C10" s="18" t="inlineStr">
        <is>
          <t>AI</t>
        </is>
      </c>
      <c r="D10" s="18" t="inlineStr">
        <is>
          <t>N</t>
        </is>
      </c>
      <c r="E10" s="18" t="inlineStr">
        <is>
          <t>When Voice is production</t>
        </is>
      </c>
    </row>
    <row r="11">
      <c r="A11" s="18" t="inlineStr">
        <is>
          <t>BNI dues (monthly avg)</t>
        </is>
      </c>
      <c r="B11" s="12" t="n">
        <v>0</v>
      </c>
      <c r="C11" s="18" t="inlineStr">
        <is>
          <t>Sales</t>
        </is>
      </c>
      <c r="D11" s="18" t="inlineStr">
        <is>
          <t>N</t>
        </is>
      </c>
      <c r="E11" s="18" t="inlineStr">
        <is>
          <t>Annual / 12 if you join</t>
        </is>
      </c>
    </row>
    <row r="12">
      <c r="A12" s="18" t="inlineStr">
        <is>
          <t>Software other</t>
        </is>
      </c>
      <c r="B12" s="12" t="n">
        <v>0</v>
      </c>
      <c r="C12" s="18" t="inlineStr">
        <is>
          <t>Tools</t>
        </is>
      </c>
      <c r="D12" s="18" t="inlineStr">
        <is>
          <t>N</t>
        </is>
      </c>
      <c r="E12" s="18" t="inlineStr"/>
    </row>
    <row r="13">
      <c r="A13" s="18" t="inlineStr">
        <is>
          <t>Ads (Google/Meta)</t>
        </is>
      </c>
      <c r="B13" s="12" t="n">
        <v>0</v>
      </c>
      <c r="C13" s="18" t="inlineStr">
        <is>
          <t>Sales</t>
        </is>
      </c>
      <c r="D13" s="18" t="inlineStr">
        <is>
          <t>N</t>
        </is>
      </c>
      <c r="E13" s="18" t="inlineStr">
        <is>
          <t>Optional later</t>
        </is>
      </c>
    </row>
    <row r="14">
      <c r="A14" s="18" t="inlineStr">
        <is>
          <t>Misc / buffer</t>
        </is>
      </c>
      <c r="B14" s="12" t="n">
        <v>0</v>
      </c>
      <c r="C14" s="18" t="inlineStr">
        <is>
          <t>Other</t>
        </is>
      </c>
      <c r="D14" s="18" t="inlineStr">
        <is>
          <t>N</t>
        </is>
      </c>
      <c r="E14" s="18" t="inlineStr"/>
    </row>
    <row r="15">
      <c r="A15" s="18" t="n"/>
      <c r="B15" s="12" t="n"/>
      <c r="C15" s="18" t="n"/>
      <c r="D15" s="18" t="n"/>
      <c r="E15" s="18" t="n"/>
    </row>
    <row r="16">
      <c r="A16" s="18" t="n"/>
      <c r="B16" s="12" t="n"/>
      <c r="C16" s="18" t="n"/>
      <c r="D16" s="18" t="n"/>
      <c r="E16" s="18" t="n"/>
    </row>
    <row r="17">
      <c r="A17" s="18" t="n"/>
      <c r="B17" s="12" t="n"/>
      <c r="C17" s="18" t="n"/>
      <c r="D17" s="18" t="n"/>
      <c r="E17" s="18" t="n"/>
    </row>
    <row r="18">
      <c r="A18" s="18" t="n"/>
      <c r="B18" s="12" t="n"/>
      <c r="C18" s="18" t="n"/>
      <c r="D18" s="18" t="n"/>
      <c r="E18" s="18" t="n"/>
    </row>
    <row r="19">
      <c r="A19" s="18" t="n"/>
      <c r="B19" s="12" t="n"/>
      <c r="C19" s="18" t="n"/>
      <c r="D19" s="18" t="n"/>
      <c r="E19" s="18" t="n"/>
    </row>
    <row r="20">
      <c r="A20" s="18" t="n"/>
      <c r="B20" s="12" t="n"/>
      <c r="C20" s="18" t="n"/>
      <c r="D20" s="18" t="n"/>
      <c r="E20" s="18" t="n"/>
    </row>
    <row r="21">
      <c r="A21" s="18" t="n"/>
      <c r="B21" s="12" t="n"/>
      <c r="C21" s="18" t="n"/>
      <c r="D21" s="18" t="n"/>
      <c r="E21" s="18" t="n"/>
    </row>
    <row r="22">
      <c r="A22" s="18" t="n"/>
      <c r="B22" s="12" t="n"/>
      <c r="C22" s="18" t="n"/>
      <c r="D22" s="18" t="n"/>
      <c r="E22" s="18" t="n"/>
    </row>
    <row r="23">
      <c r="A23" s="18" t="n"/>
      <c r="B23" s="12" t="n"/>
      <c r="C23" s="18" t="n"/>
      <c r="D23" s="18" t="n"/>
      <c r="E23" s="18" t="n"/>
    </row>
    <row r="24">
      <c r="A24" s="18" t="n"/>
      <c r="B24" s="12" t="n"/>
      <c r="C24" s="18" t="n"/>
      <c r="D24" s="18" t="n"/>
      <c r="E24" s="18" t="n"/>
    </row>
    <row r="27">
      <c r="A27" s="11" t="inlineStr">
        <is>
          <t>Cost totals</t>
        </is>
      </c>
    </row>
    <row r="28">
      <c r="A28" t="inlineStr">
        <is>
          <t>All listed $/mo</t>
        </is>
      </c>
      <c r="B28" s="22">
        <f>SUM(B5:B24)</f>
        <v/>
      </c>
    </row>
    <row r="29">
      <c r="A29" t="inlineStr">
        <is>
          <t>Active only (Active? = Y)</t>
        </is>
      </c>
      <c r="B29" s="21">
        <f>SUMIF(D5:D24,"Y",B5:B24)</f>
        <v/>
      </c>
    </row>
    <row r="30">
      <c r="A30" s="2" t="inlineStr">
        <is>
          <t>Tip: $240/year domain → enter $20 in $/mo</t>
        </is>
      </c>
    </row>
  </sheetData>
  <mergeCells count="2">
    <mergeCell ref="A2:E2"/>
    <mergeCell ref="A1:E1"/>
  </mergeCells>
  <dataValidations count="2">
    <dataValidation sqref="C5:C24" showDropDown="0" showInputMessage="0" showErrorMessage="0" allowBlank="1" type="list">
      <formula1>"Infra,Tools,AI,Sales,Other"</formula1>
    </dataValidation>
    <dataValidation sqref="D5:D2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Vox Ops ($0)</t>
        </is>
      </c>
    </row>
    <row r="2">
      <c r="A2" s="19" t="inlineStr"/>
    </row>
    <row r="3">
      <c r="A3" s="19" t="inlineStr">
        <is>
          <t>1. Upload to Google Drive → open with Google Sheets (or File → Import).</t>
        </is>
      </c>
    </row>
    <row r="4">
      <c r="A4" s="19" t="inlineStr">
        <is>
          <t>2. Edit yellow cells only. Green numbers are formulas from other tabs.</t>
        </is>
      </c>
    </row>
    <row r="5">
      <c r="A5" s="19" t="inlineStr">
        <is>
          <t>3. SKUs — set default prices once.</t>
        </is>
      </c>
    </row>
    <row r="6">
      <c r="A6" s="19" t="inlineStr">
        <is>
          <t>4. Leads — one row per inquiry; use dropdowns.</t>
        </is>
      </c>
    </row>
    <row r="7">
      <c r="A7" s="19" t="inlineStr">
        <is>
          <t>5. Clients — one row per paying business.</t>
        </is>
      </c>
    </row>
    <row r="8">
      <c r="A8" s="19" t="inlineStr">
        <is>
          <t>6. Costs — overhead; Active? = Y only for what you pay now.</t>
        </is>
      </c>
    </row>
    <row r="9">
      <c r="A9" s="19" t="inlineStr">
        <is>
          <t>7. Summary — MRR, costs, margin, pipeline, vs income target.</t>
        </is>
      </c>
    </row>
    <row r="10">
      <c r="A10" s="19" t="inlineStr">
        <is>
          <t>8. Website leads: paste from Formspree email into Leads.</t>
        </is>
      </c>
    </row>
    <row r="11">
      <c r="A11" s="19" t="inlineStr">
        <is>
          <t>9. Keep private — phones/emails.</t>
        </is>
      </c>
    </row>
    <row r="12">
      <c r="A12" s="19" t="inlineStr"/>
    </row>
    <row r="13">
      <c r="A13" s="19" t="inlineStr">
        <is>
          <t>Product: Vox.chat · Base: Turlock, CA · Triangle: Turlock · Modesto · Manteca</t>
        </is>
      </c>
    </row>
    <row r="14">
      <c r="A14" s="19" t="inlineStr">
        <is>
          <t>No client-facing dashboard. Internal ops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2026-07-19T18:34:49Z</dcterms:created>
  <dcterms:modified xsi:type="dcterms:W3CDTF">2026-07-19T18:34:49Z</dcterms:modified>
</cp:coreProperties>
</file>